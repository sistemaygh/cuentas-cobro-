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senia\Documents\AVALON\"/>
    </mc:Choice>
  </mc:AlternateContent>
  <xr:revisionPtr revIDLastSave="0" documentId="13_ncr:1_{3CB8A06D-7926-42EF-8D9D-3A6FDB90EEF6}" xr6:coauthVersionLast="47" xr6:coauthVersionMax="47" xr10:uidLastSave="{00000000-0000-0000-0000-000000000000}"/>
  <bookViews>
    <workbookView xWindow="-120" yWindow="-120" windowWidth="20730" windowHeight="11040" xr2:uid="{54F88EFC-76D7-4D5C-959E-177A016C6E0D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0" i="1" l="1"/>
  <c r="AE32" i="1" s="1"/>
  <c r="AE39" i="1" s="1"/>
  <c r="AF43" i="1"/>
  <c r="AF41" i="1"/>
  <c r="X9" i="1"/>
  <c r="U9" i="1"/>
  <c r="AE48" i="1" l="1"/>
  <c r="AE45" i="1"/>
</calcChain>
</file>

<file path=xl/sharedStrings.xml><?xml version="1.0" encoding="utf-8"?>
<sst xmlns="http://schemas.openxmlformats.org/spreadsheetml/2006/main" count="54" uniqueCount="45">
  <si>
    <t>DOCUMENTO EQUIVALENTE A LA</t>
  </si>
  <si>
    <t>NUMERO</t>
  </si>
  <si>
    <t>FECHA</t>
  </si>
  <si>
    <t>FACTURA DE VENTA</t>
  </si>
  <si>
    <t>A</t>
  </si>
  <si>
    <t>M</t>
  </si>
  <si>
    <t>D</t>
  </si>
  <si>
    <t>Para Personas Naturales No Comerciantes o Regimen Simplificado</t>
  </si>
  <si>
    <t>Decreto 522 de 2003, Articulo 3º</t>
  </si>
  <si>
    <t>INFORMACIÓN DE LA PERSONA NATURAL (Vendedor o Prestador de Servicio)</t>
  </si>
  <si>
    <t>Nombre</t>
  </si>
  <si>
    <t>CC</t>
  </si>
  <si>
    <t>NIT</t>
  </si>
  <si>
    <t>No. DE IDENTIFICACION</t>
  </si>
  <si>
    <t>DV</t>
  </si>
  <si>
    <t>YESENIA GOMEZ HERNANDEZ</t>
  </si>
  <si>
    <t>Dirección</t>
  </si>
  <si>
    <t>Teléfono</t>
  </si>
  <si>
    <t>Ciudad</t>
  </si>
  <si>
    <t>CRA 5 22C 12 SUR</t>
  </si>
  <si>
    <t>BOGOTA</t>
  </si>
  <si>
    <t>INFORMACIÓN DEL COMPRADOR</t>
  </si>
  <si>
    <t>C.C.</t>
  </si>
  <si>
    <t>X</t>
  </si>
  <si>
    <t>Bogotá</t>
  </si>
  <si>
    <t>CONCEPTO</t>
  </si>
  <si>
    <t>VALOR</t>
  </si>
  <si>
    <t>Honorarios 10%</t>
  </si>
  <si>
    <t>Favor consignar a la cuenta de ahorros Bancolombia 42854894719</t>
  </si>
  <si>
    <t>Para efectos tributarios declaro:</t>
  </si>
  <si>
    <t xml:space="preserve">Soy persona residente nacional, regimen simplificado </t>
  </si>
  <si>
    <t>Declaro impuesto de renta y complementarios por patrimonio</t>
  </si>
  <si>
    <t>no tengo empleados a mi cargo.</t>
  </si>
  <si>
    <t>FIRMA VENDEDOR O PRESTADOR DEL SERVICIO</t>
  </si>
  <si>
    <t>TOTAL</t>
  </si>
  <si>
    <t>Menos: RTE FTE</t>
  </si>
  <si>
    <t>(</t>
  </si>
  <si>
    <t>)</t>
  </si>
  <si>
    <t>Menos: RTE ICA</t>
  </si>
  <si>
    <t>NETO A PAGAR</t>
  </si>
  <si>
    <t>RTE IVA (10%)</t>
  </si>
  <si>
    <t>EDIFICIO AVALON</t>
  </si>
  <si>
    <t>CALLE 65 9 07</t>
  </si>
  <si>
    <t>Son: CUATROCIENTOS CINCO MIL NOVECIENTOS PESOS MCTE</t>
  </si>
  <si>
    <t>Honorarios de Contador durante mes de Junio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</si>
</sst>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_ * #,##0_ ;_ * \-#,##0_ ;_ * &quot;-&quot;_ ;_ @_ "/>
  </numFmts>
  <fonts count="12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omic Sans MS"/>
      <family val="4"/>
    </font>
    <font>
      <b/>
      <i/>
      <u/>
      <sz val="7"/>
      <name val="Arial"/>
      <family val="2"/>
    </font>
    <font>
      <sz val="6"/>
      <name val="Arial"/>
      <family val="2"/>
    </font>
    <font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0" fillId="0" borderId="12" xfId="0" applyBorder="1" applyAlignment="1" applyProtection="1">
      <alignment vertical="center"/>
      <protection locked="0"/>
    </xf>
    <xf numFmtId="0" fontId="5" fillId="0" borderId="13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vertical="center"/>
      <protection locked="0"/>
    </xf>
    <xf numFmtId="0" fontId="0" fillId="0" borderId="5" xfId="0" applyBorder="1" applyAlignment="1" applyProtection="1">
      <alignment vertical="center"/>
      <protection locked="0"/>
    </xf>
    <xf numFmtId="0" fontId="0" fillId="0" borderId="8" xfId="0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9" fillId="0" borderId="2" xfId="0" applyFont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horizontal="right" vertical="center"/>
      <protection locked="0"/>
    </xf>
    <xf numFmtId="0" fontId="4" fillId="0" borderId="3" xfId="0" applyFont="1" applyBorder="1" applyAlignment="1" applyProtection="1">
      <alignment horizontal="right" vertical="center"/>
      <protection locked="0"/>
    </xf>
    <xf numFmtId="0" fontId="0" fillId="0" borderId="5" xfId="0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4" fillId="0" borderId="6" xfId="0" applyFont="1" applyBorder="1" applyAlignment="1" applyProtection="1">
      <alignment horizontal="right" vertical="center"/>
      <protection locked="0"/>
    </xf>
    <xf numFmtId="0" fontId="0" fillId="0" borderId="7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vertical="center"/>
      <protection locked="0"/>
    </xf>
    <xf numFmtId="0" fontId="0" fillId="0" borderId="18" xfId="0" applyBorder="1" applyAlignment="1" applyProtection="1">
      <alignment vertical="center"/>
      <protection locked="0"/>
    </xf>
    <xf numFmtId="0" fontId="0" fillId="0" borderId="20" xfId="0" applyBorder="1" applyAlignment="1" applyProtection="1">
      <alignment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0" fillId="0" borderId="17" xfId="0" applyBorder="1" applyAlignment="1" applyProtection="1">
      <alignment horizontal="left" vertical="center"/>
      <protection locked="0"/>
    </xf>
    <xf numFmtId="0" fontId="0" fillId="0" borderId="19" xfId="0" applyBorder="1" applyAlignment="1" applyProtection="1">
      <alignment vertical="center"/>
      <protection locked="0"/>
    </xf>
    <xf numFmtId="0" fontId="11" fillId="0" borderId="18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right"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4" fillId="0" borderId="20" xfId="0" applyFont="1" applyBorder="1" applyAlignment="1" applyProtection="1">
      <alignment horizontal="right" vertical="center"/>
      <protection locked="0"/>
    </xf>
    <xf numFmtId="0" fontId="4" fillId="0" borderId="18" xfId="0" applyFont="1" applyBorder="1" applyAlignment="1" applyProtection="1">
      <alignment horizontal="right" vertical="center"/>
      <protection locked="0"/>
    </xf>
    <xf numFmtId="3" fontId="8" fillId="0" borderId="0" xfId="0" applyNumberFormat="1" applyFont="1" applyAlignment="1">
      <alignment horizontal="center" vertical="center"/>
    </xf>
    <xf numFmtId="3" fontId="8" fillId="0" borderId="18" xfId="0" applyNumberFormat="1" applyFont="1" applyBorder="1" applyAlignment="1">
      <alignment horizontal="center" vertical="center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3" fontId="8" fillId="0" borderId="2" xfId="0" applyNumberFormat="1" applyFont="1" applyBorder="1" applyAlignment="1">
      <alignment horizontal="center" vertical="center"/>
    </xf>
    <xf numFmtId="3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5" fontId="7" fillId="0" borderId="24" xfId="0" applyNumberFormat="1" applyFont="1" applyBorder="1" applyAlignment="1">
      <alignment horizontal="left" vertical="center"/>
    </xf>
    <xf numFmtId="165" fontId="7" fillId="0" borderId="25" xfId="0" applyNumberFormat="1" applyFont="1" applyBorder="1" applyAlignment="1">
      <alignment horizontal="left" vertical="center"/>
    </xf>
    <xf numFmtId="0" fontId="4" fillId="0" borderId="2" xfId="0" applyFont="1" applyBorder="1" applyAlignment="1" applyProtection="1">
      <alignment horizontal="right" vertical="center"/>
      <protection locked="0"/>
    </xf>
    <xf numFmtId="0" fontId="8" fillId="0" borderId="8" xfId="0" applyFont="1" applyBorder="1" applyAlignment="1">
      <alignment horizontal="center" vertical="center"/>
    </xf>
    <xf numFmtId="165" fontId="7" fillId="0" borderId="23" xfId="0" applyNumberFormat="1" applyFont="1" applyBorder="1" applyAlignment="1">
      <alignment horizontal="left" vertical="center"/>
    </xf>
    <xf numFmtId="3" fontId="0" fillId="0" borderId="13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3" fontId="0" fillId="0" borderId="5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39</xdr:row>
      <xdr:rowOff>47625</xdr:rowOff>
    </xdr:from>
    <xdr:to>
      <xdr:col>4</xdr:col>
      <xdr:colOff>140335</xdr:colOff>
      <xdr:row>40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F95236-11B0-45A5-BDBC-EBD6ACC41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381875"/>
          <a:ext cx="1711960" cy="6572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/Maria/Contable/InLife%20Studio/GCR-DocuemtoEquivalen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Control_Numeración"/>
      <sheetName val="Calculadora"/>
      <sheetName val="Compra"/>
      <sheetName val="Servi"/>
      <sheetName val="Arriendo"/>
      <sheetName val="Honorarios"/>
      <sheetName val="CIUU"/>
    </sheetNames>
    <sheetDataSet>
      <sheetData sheetId="0" refreshError="1">
        <row r="8">
          <cell r="C8" t="str">
            <v>C</v>
          </cell>
        </row>
        <row r="10">
          <cell r="F10" t="str">
            <v>Bogotá</v>
          </cell>
        </row>
        <row r="16">
          <cell r="C16">
            <v>0</v>
          </cell>
        </row>
        <row r="21">
          <cell r="C21" t="str">
            <v>X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A2AF0-ADF5-4ADE-A85D-2E72DAA03369}">
  <dimension ref="A2:AM51"/>
  <sheetViews>
    <sheetView tabSelected="1" topLeftCell="A13" workbookViewId="0">
      <selection activeCell="B28" sqref="B28:AB29"/>
    </sheetView>
  </sheetViews>
  <sheetFormatPr baseColWidth="10" defaultColWidth="2.140625" defaultRowHeight="15" x14ac:dyDescent="0.25"/>
  <cols>
    <col min="1" max="1" width="2.140625" style="3"/>
    <col min="2" max="23" width="2.140625" style="2"/>
    <col min="24" max="24" width="2" style="2" customWidth="1"/>
    <col min="25" max="25" width="2.140625" style="2" hidden="1" customWidth="1"/>
    <col min="26" max="27" width="2.140625" style="2"/>
    <col min="28" max="28" width="3.5703125" style="2" customWidth="1"/>
    <col min="29" max="32" width="2.140625" style="2"/>
    <col min="33" max="33" width="7.5703125" style="2" bestFit="1" customWidth="1"/>
    <col min="34" max="38" width="2.140625" style="2"/>
    <col min="39" max="39" width="3.7109375" style="2" customWidth="1"/>
    <col min="40" max="16384" width="2.140625" style="2"/>
  </cols>
  <sheetData>
    <row r="2" spans="1:39" s="1" customFormat="1" ht="15.75" x14ac:dyDescent="0.25">
      <c r="A2" s="103" t="s">
        <v>0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5"/>
      <c r="W2" s="106" t="s">
        <v>1</v>
      </c>
      <c r="X2" s="106"/>
      <c r="Y2" s="106"/>
      <c r="Z2" s="106"/>
      <c r="AA2" s="106"/>
      <c r="AB2" s="106"/>
      <c r="AC2" s="106"/>
      <c r="AD2" s="106"/>
      <c r="AE2" s="106" t="s">
        <v>2</v>
      </c>
      <c r="AF2" s="106"/>
      <c r="AG2" s="106"/>
      <c r="AH2" s="106"/>
      <c r="AI2" s="106"/>
      <c r="AJ2" s="106"/>
      <c r="AK2" s="106"/>
      <c r="AL2" s="106"/>
      <c r="AM2" s="106"/>
    </row>
    <row r="3" spans="1:39" s="1" customFormat="1" ht="15.75" x14ac:dyDescent="0.25">
      <c r="A3" s="107" t="s">
        <v>3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9"/>
      <c r="W3" s="110">
        <v>2606</v>
      </c>
      <c r="X3" s="111"/>
      <c r="Y3" s="111"/>
      <c r="Z3" s="111"/>
      <c r="AA3" s="111"/>
      <c r="AB3" s="111"/>
      <c r="AC3" s="111"/>
      <c r="AD3" s="112"/>
      <c r="AE3" s="106" t="s">
        <v>4</v>
      </c>
      <c r="AF3" s="106"/>
      <c r="AG3" s="106"/>
      <c r="AH3" s="106" t="s">
        <v>5</v>
      </c>
      <c r="AI3" s="106"/>
      <c r="AJ3" s="106"/>
      <c r="AK3" s="106" t="s">
        <v>6</v>
      </c>
      <c r="AL3" s="106"/>
      <c r="AM3" s="106"/>
    </row>
    <row r="4" spans="1:39" x14ac:dyDescent="0.25">
      <c r="A4" s="117" t="s">
        <v>7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9"/>
      <c r="W4" s="113"/>
      <c r="X4" s="111"/>
      <c r="Y4" s="111"/>
      <c r="Z4" s="111"/>
      <c r="AA4" s="111"/>
      <c r="AB4" s="111"/>
      <c r="AC4" s="111"/>
      <c r="AD4" s="112"/>
      <c r="AE4" s="120">
        <v>46191</v>
      </c>
      <c r="AF4" s="121"/>
      <c r="AG4" s="121"/>
      <c r="AH4" s="121"/>
      <c r="AI4" s="121"/>
      <c r="AJ4" s="121"/>
      <c r="AK4" s="121"/>
      <c r="AL4" s="121"/>
      <c r="AM4" s="122"/>
    </row>
    <row r="5" spans="1:39" x14ac:dyDescent="0.25">
      <c r="A5" s="126" t="s">
        <v>8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8"/>
      <c r="W5" s="114"/>
      <c r="X5" s="115"/>
      <c r="Y5" s="115"/>
      <c r="Z5" s="115"/>
      <c r="AA5" s="115"/>
      <c r="AB5" s="115"/>
      <c r="AC5" s="115"/>
      <c r="AD5" s="116"/>
      <c r="AE5" s="123"/>
      <c r="AF5" s="124"/>
      <c r="AG5" s="124"/>
      <c r="AH5" s="124"/>
      <c r="AI5" s="124"/>
      <c r="AJ5" s="124"/>
      <c r="AK5" s="124"/>
      <c r="AL5" s="124"/>
      <c r="AM5" s="125"/>
    </row>
    <row r="6" spans="1:39" ht="5.25" customHeight="1" thickBot="1" x14ac:dyDescent="0.3"/>
    <row r="7" spans="1:39" ht="15.75" thickTop="1" x14ac:dyDescent="0.25">
      <c r="A7" s="4" t="s">
        <v>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6"/>
    </row>
    <row r="8" spans="1:39" s="8" customFormat="1" ht="12" x14ac:dyDescent="0.25">
      <c r="A8" s="7" t="s">
        <v>10</v>
      </c>
      <c r="U8" s="96" t="s">
        <v>11</v>
      </c>
      <c r="V8" s="96"/>
      <c r="W8" s="96"/>
      <c r="X8" s="96" t="s">
        <v>12</v>
      </c>
      <c r="Y8" s="96"/>
      <c r="Z8" s="96"/>
      <c r="AA8" s="8" t="s">
        <v>13</v>
      </c>
      <c r="AL8" s="96" t="s">
        <v>14</v>
      </c>
      <c r="AM8" s="97"/>
    </row>
    <row r="9" spans="1:39" x14ac:dyDescent="0.25">
      <c r="A9" s="94" t="s">
        <v>15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80"/>
      <c r="U9" s="95" t="str">
        <f>+IF([1]Datos!$C$8="C","X","-")</f>
        <v>X</v>
      </c>
      <c r="V9" s="79"/>
      <c r="W9" s="80"/>
      <c r="X9" s="95" t="str">
        <f>+IF([1]Datos!$C$8="N","X","-")</f>
        <v>-</v>
      </c>
      <c r="Y9" s="79"/>
      <c r="Z9" s="80"/>
      <c r="AA9" s="69">
        <v>52729494</v>
      </c>
      <c r="AB9" s="70"/>
      <c r="AC9" s="70"/>
      <c r="AD9" s="70"/>
      <c r="AE9" s="70"/>
      <c r="AF9" s="70"/>
      <c r="AG9" s="70"/>
      <c r="AH9" s="70"/>
      <c r="AI9" s="70"/>
      <c r="AJ9" s="70"/>
      <c r="AK9" s="71"/>
      <c r="AL9" s="58">
        <v>4</v>
      </c>
      <c r="AM9" s="101"/>
    </row>
    <row r="10" spans="1:39" x14ac:dyDescent="0.25">
      <c r="A10" s="98"/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100"/>
      <c r="U10" s="76"/>
      <c r="V10" s="99"/>
      <c r="W10" s="100"/>
      <c r="X10" s="76"/>
      <c r="Y10" s="99"/>
      <c r="Z10" s="100"/>
      <c r="AA10" s="72"/>
      <c r="AB10" s="73"/>
      <c r="AC10" s="73"/>
      <c r="AD10" s="73"/>
      <c r="AE10" s="73"/>
      <c r="AF10" s="73"/>
      <c r="AG10" s="73"/>
      <c r="AH10" s="73"/>
      <c r="AI10" s="73"/>
      <c r="AJ10" s="73"/>
      <c r="AK10" s="74"/>
      <c r="AL10" s="61"/>
      <c r="AM10" s="102"/>
    </row>
    <row r="11" spans="1:39" x14ac:dyDescent="0.25">
      <c r="A11" s="9" t="s">
        <v>16</v>
      </c>
      <c r="R11" s="2" t="s">
        <v>17</v>
      </c>
      <c r="AE11" s="2" t="s">
        <v>18</v>
      </c>
      <c r="AM11" s="10"/>
    </row>
    <row r="12" spans="1:39" x14ac:dyDescent="0.25">
      <c r="A12" s="94" t="s">
        <v>19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80"/>
      <c r="R12" s="95">
        <v>3105623661</v>
      </c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80"/>
      <c r="AE12" s="95" t="s">
        <v>20</v>
      </c>
      <c r="AF12" s="79"/>
      <c r="AG12" s="79"/>
      <c r="AH12" s="79"/>
      <c r="AI12" s="79"/>
      <c r="AJ12" s="79"/>
      <c r="AK12" s="79"/>
      <c r="AL12" s="79"/>
      <c r="AM12" s="75"/>
    </row>
    <row r="13" spans="1:39" ht="15.75" thickBot="1" x14ac:dyDescent="0.3">
      <c r="A13" s="81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3"/>
      <c r="R13" s="90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3"/>
      <c r="AE13" s="90"/>
      <c r="AF13" s="82"/>
      <c r="AG13" s="82"/>
      <c r="AH13" s="82"/>
      <c r="AI13" s="82"/>
      <c r="AJ13" s="82"/>
      <c r="AK13" s="82"/>
      <c r="AL13" s="82"/>
      <c r="AM13" s="91"/>
    </row>
    <row r="14" spans="1:39" ht="15.75" thickTop="1" x14ac:dyDescent="0.25">
      <c r="A14" s="9"/>
      <c r="AM14" s="10"/>
    </row>
    <row r="15" spans="1:39" x14ac:dyDescent="0.25">
      <c r="A15" s="11" t="s">
        <v>21</v>
      </c>
      <c r="AM15" s="10"/>
    </row>
    <row r="16" spans="1:39" x14ac:dyDescent="0.25">
      <c r="A16" s="7" t="s">
        <v>10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96" t="s">
        <v>22</v>
      </c>
      <c r="V16" s="96"/>
      <c r="W16" s="96"/>
      <c r="X16" s="96" t="s">
        <v>12</v>
      </c>
      <c r="Y16" s="96"/>
      <c r="Z16" s="96"/>
      <c r="AA16" s="8" t="s">
        <v>13</v>
      </c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96" t="s">
        <v>14</v>
      </c>
      <c r="AM16" s="97"/>
    </row>
    <row r="17" spans="1:39" ht="15" customHeight="1" x14ac:dyDescent="0.25">
      <c r="A17" s="52" t="s">
        <v>41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4"/>
      <c r="U17" s="58"/>
      <c r="V17" s="59"/>
      <c r="W17" s="60"/>
      <c r="X17" s="63" t="s">
        <v>23</v>
      </c>
      <c r="Y17" s="64"/>
      <c r="Z17" s="65"/>
      <c r="AA17" s="69">
        <v>800245101</v>
      </c>
      <c r="AB17" s="70"/>
      <c r="AC17" s="70"/>
      <c r="AD17" s="70"/>
      <c r="AE17" s="70"/>
      <c r="AF17" s="70"/>
      <c r="AG17" s="70"/>
      <c r="AH17" s="70"/>
      <c r="AI17" s="70"/>
      <c r="AJ17" s="70"/>
      <c r="AK17" s="71"/>
      <c r="AL17" s="69">
        <v>1</v>
      </c>
      <c r="AM17" s="75"/>
    </row>
    <row r="18" spans="1:39" x14ac:dyDescent="0.25">
      <c r="A18" s="55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7"/>
      <c r="U18" s="61"/>
      <c r="V18" s="42"/>
      <c r="W18" s="62"/>
      <c r="X18" s="66"/>
      <c r="Y18" s="67"/>
      <c r="Z18" s="68"/>
      <c r="AA18" s="72"/>
      <c r="AB18" s="73"/>
      <c r="AC18" s="73"/>
      <c r="AD18" s="73"/>
      <c r="AE18" s="73"/>
      <c r="AF18" s="73"/>
      <c r="AG18" s="73"/>
      <c r="AH18" s="73"/>
      <c r="AI18" s="73"/>
      <c r="AJ18" s="73"/>
      <c r="AK18" s="74"/>
      <c r="AL18" s="76"/>
      <c r="AM18" s="77"/>
    </row>
    <row r="19" spans="1:39" x14ac:dyDescent="0.25">
      <c r="A19" s="9" t="s">
        <v>16</v>
      </c>
      <c r="R19" s="2" t="s">
        <v>17</v>
      </c>
      <c r="AE19" s="2" t="s">
        <v>18</v>
      </c>
      <c r="AM19" s="10"/>
    </row>
    <row r="20" spans="1:39" x14ac:dyDescent="0.25">
      <c r="A20" s="78" t="s">
        <v>42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80"/>
      <c r="R20" s="84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6"/>
      <c r="AE20" s="69" t="s">
        <v>24</v>
      </c>
      <c r="AF20" s="79"/>
      <c r="AG20" s="79"/>
      <c r="AH20" s="79"/>
      <c r="AI20" s="79"/>
      <c r="AJ20" s="79"/>
      <c r="AK20" s="79"/>
      <c r="AL20" s="79"/>
      <c r="AM20" s="75"/>
    </row>
    <row r="21" spans="1:39" ht="15.75" thickBot="1" x14ac:dyDescent="0.3">
      <c r="A21" s="81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7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9"/>
      <c r="AE21" s="90"/>
      <c r="AF21" s="82"/>
      <c r="AG21" s="82"/>
      <c r="AH21" s="82"/>
      <c r="AI21" s="82"/>
      <c r="AJ21" s="82"/>
      <c r="AK21" s="82"/>
      <c r="AL21" s="82"/>
      <c r="AM21" s="91"/>
    </row>
    <row r="22" spans="1:39" ht="15.75" thickTop="1" x14ac:dyDescent="0.25">
      <c r="A22" s="9"/>
      <c r="AD22" s="13"/>
      <c r="AM22" s="10"/>
    </row>
    <row r="23" spans="1:39" x14ac:dyDescent="0.25">
      <c r="A23" s="11" t="s">
        <v>25</v>
      </c>
      <c r="AD23" s="92" t="s">
        <v>26</v>
      </c>
      <c r="AE23" s="40"/>
      <c r="AF23" s="40"/>
      <c r="AG23" s="40"/>
      <c r="AH23" s="40"/>
      <c r="AI23" s="40"/>
      <c r="AJ23" s="40"/>
      <c r="AK23" s="40"/>
      <c r="AL23" s="40"/>
      <c r="AM23" s="93"/>
    </row>
    <row r="24" spans="1:39" x14ac:dyDescent="0.25">
      <c r="A24" s="9"/>
      <c r="AD24" s="14"/>
      <c r="AM24" s="10"/>
    </row>
    <row r="25" spans="1:39" x14ac:dyDescent="0.25">
      <c r="A25" s="9"/>
      <c r="AD25" s="14"/>
      <c r="AM25" s="10"/>
    </row>
    <row r="26" spans="1:39" x14ac:dyDescent="0.25">
      <c r="A26" s="9"/>
      <c r="B26" s="51" t="s">
        <v>44</v>
      </c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D26" s="14"/>
      <c r="AE26" s="43">
        <v>451000</v>
      </c>
      <c r="AF26" s="43"/>
      <c r="AG26" s="43"/>
      <c r="AH26" s="43"/>
      <c r="AI26" s="43"/>
      <c r="AJ26" s="43"/>
      <c r="AK26" s="43"/>
      <c r="AL26" s="43"/>
      <c r="AM26" s="10"/>
    </row>
    <row r="27" spans="1:39" x14ac:dyDescent="0.25">
      <c r="A27" s="9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D27" s="14"/>
      <c r="AE27" s="44"/>
      <c r="AF27" s="44"/>
      <c r="AG27" s="44"/>
      <c r="AH27" s="44"/>
      <c r="AI27" s="44"/>
      <c r="AJ27" s="44"/>
      <c r="AK27" s="44"/>
      <c r="AL27" s="44"/>
      <c r="AM27" s="10"/>
    </row>
    <row r="28" spans="1:39" x14ac:dyDescent="0.25">
      <c r="A28" s="9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D28" s="14"/>
      <c r="AE28" s="43"/>
      <c r="AF28" s="43"/>
      <c r="AG28" s="43"/>
      <c r="AH28" s="43"/>
      <c r="AI28" s="43"/>
      <c r="AJ28" s="43"/>
      <c r="AK28" s="43"/>
      <c r="AL28" s="43"/>
      <c r="AM28" s="10"/>
    </row>
    <row r="29" spans="1:39" x14ac:dyDescent="0.25">
      <c r="A29" s="9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D29" s="14"/>
      <c r="AE29" s="44"/>
      <c r="AF29" s="44"/>
      <c r="AG29" s="44"/>
      <c r="AH29" s="44"/>
      <c r="AI29" s="44"/>
      <c r="AJ29" s="44"/>
      <c r="AK29" s="44"/>
      <c r="AL29" s="44"/>
      <c r="AM29" s="10"/>
    </row>
    <row r="30" spans="1:39" x14ac:dyDescent="0.25">
      <c r="A30" s="9"/>
      <c r="B30" s="51" t="s">
        <v>27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D30" s="14"/>
      <c r="AE30" s="43">
        <f>-(AE26+AE28)*10/100</f>
        <v>-45100</v>
      </c>
      <c r="AF30" s="43"/>
      <c r="AG30" s="43"/>
      <c r="AH30" s="43"/>
      <c r="AI30" s="43"/>
      <c r="AJ30" s="43"/>
      <c r="AK30" s="43"/>
      <c r="AL30" s="43"/>
      <c r="AM30" s="10"/>
    </row>
    <row r="31" spans="1:39" x14ac:dyDescent="0.25">
      <c r="A31" s="9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D31" s="14"/>
      <c r="AE31" s="44"/>
      <c r="AF31" s="44"/>
      <c r="AG31" s="44"/>
      <c r="AH31" s="44"/>
      <c r="AI31" s="44"/>
      <c r="AJ31" s="44"/>
      <c r="AK31" s="44"/>
      <c r="AL31" s="44"/>
      <c r="AM31" s="10"/>
    </row>
    <row r="32" spans="1:39" x14ac:dyDescent="0.25">
      <c r="A32" s="9"/>
      <c r="B32" s="47" t="s">
        <v>28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D32" s="14"/>
      <c r="AE32" s="43">
        <f>+AE26+AE28+AE30</f>
        <v>405900</v>
      </c>
      <c r="AF32" s="43"/>
      <c r="AG32" s="43"/>
      <c r="AH32" s="43"/>
      <c r="AI32" s="43"/>
      <c r="AJ32" s="43"/>
      <c r="AK32" s="43"/>
      <c r="AL32" s="43"/>
      <c r="AM32" s="10"/>
    </row>
    <row r="33" spans="1:39" x14ac:dyDescent="0.25">
      <c r="A33" s="9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D33" s="14"/>
      <c r="AE33" s="44"/>
      <c r="AF33" s="44"/>
      <c r="AG33" s="44"/>
      <c r="AH33" s="44"/>
      <c r="AI33" s="44"/>
      <c r="AJ33" s="44"/>
      <c r="AK33" s="44"/>
      <c r="AL33" s="44"/>
      <c r="AM33" s="10"/>
    </row>
    <row r="34" spans="1:39" x14ac:dyDescent="0.25">
      <c r="A34" s="9"/>
      <c r="B34" s="2" t="s">
        <v>29</v>
      </c>
      <c r="AD34" s="14"/>
      <c r="AM34" s="10"/>
    </row>
    <row r="35" spans="1:39" x14ac:dyDescent="0.25">
      <c r="A35" s="9"/>
      <c r="B35" s="15" t="s">
        <v>30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D35" s="14"/>
      <c r="AM35" s="10"/>
    </row>
    <row r="36" spans="1:39" x14ac:dyDescent="0.25">
      <c r="A36" s="9"/>
      <c r="B36" s="15" t="s">
        <v>31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D36" s="14"/>
      <c r="AM36" s="10"/>
    </row>
    <row r="37" spans="1:39" x14ac:dyDescent="0.25">
      <c r="A37" s="9"/>
      <c r="B37" s="2" t="s">
        <v>32</v>
      </c>
      <c r="AD37" s="14"/>
      <c r="AM37" s="10"/>
    </row>
    <row r="38" spans="1:39" x14ac:dyDescent="0.25">
      <c r="A38" s="9"/>
      <c r="T38" s="15"/>
      <c r="U38" s="15"/>
      <c r="V38" s="15"/>
      <c r="W38" s="15"/>
      <c r="X38" s="15"/>
      <c r="Y38" s="15"/>
      <c r="Z38" s="15"/>
      <c r="AA38" s="15"/>
      <c r="AB38" s="15"/>
      <c r="AD38" s="14"/>
      <c r="AE38" s="15"/>
      <c r="AF38" s="15"/>
      <c r="AG38" s="15"/>
      <c r="AH38" s="15"/>
      <c r="AI38" s="15"/>
      <c r="AJ38" s="15"/>
      <c r="AK38" s="15"/>
      <c r="AL38" s="15"/>
      <c r="AM38" s="10"/>
    </row>
    <row r="39" spans="1:39" x14ac:dyDescent="0.25">
      <c r="A39" s="16"/>
      <c r="B39" s="17" t="s">
        <v>33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9"/>
      <c r="O39" s="19"/>
      <c r="P39" s="19"/>
      <c r="Q39" s="19"/>
      <c r="R39" s="19"/>
      <c r="S39" s="20"/>
      <c r="T39" s="49" t="s">
        <v>34</v>
      </c>
      <c r="U39" s="49"/>
      <c r="V39" s="49"/>
      <c r="W39" s="49"/>
      <c r="X39" s="49"/>
      <c r="Y39" s="49"/>
      <c r="Z39" s="49"/>
      <c r="AA39" s="49"/>
      <c r="AB39" s="49"/>
      <c r="AD39" s="14"/>
      <c r="AE39" s="43">
        <f>+AE32</f>
        <v>405900</v>
      </c>
      <c r="AF39" s="45"/>
      <c r="AG39" s="45"/>
      <c r="AH39" s="45"/>
      <c r="AI39" s="45"/>
      <c r="AJ39" s="45"/>
      <c r="AK39" s="45"/>
      <c r="AL39" s="45"/>
      <c r="AM39" s="10"/>
    </row>
    <row r="40" spans="1:39" x14ac:dyDescent="0.25">
      <c r="A40" s="21"/>
      <c r="S40" s="22"/>
      <c r="T40" s="34"/>
      <c r="U40" s="34"/>
      <c r="V40" s="34"/>
      <c r="W40" s="34"/>
      <c r="X40" s="34"/>
      <c r="Y40" s="34"/>
      <c r="Z40" s="34"/>
      <c r="AA40" s="34"/>
      <c r="AB40" s="34"/>
      <c r="AC40" s="22"/>
      <c r="AD40" s="14"/>
      <c r="AE40" s="50"/>
      <c r="AF40" s="50"/>
      <c r="AG40" s="50"/>
      <c r="AH40" s="50"/>
      <c r="AI40" s="50"/>
      <c r="AJ40" s="50"/>
      <c r="AK40" s="50"/>
      <c r="AL40" s="50"/>
      <c r="AM40" s="10"/>
    </row>
    <row r="41" spans="1:39" ht="15" hidden="1" customHeight="1" x14ac:dyDescent="0.25">
      <c r="A41" s="21"/>
      <c r="N41" s="23"/>
      <c r="O41" s="23"/>
      <c r="P41" s="23"/>
      <c r="Q41" s="23"/>
      <c r="R41" s="23"/>
      <c r="S41" s="24"/>
      <c r="T41" s="34" t="s">
        <v>35</v>
      </c>
      <c r="U41" s="34"/>
      <c r="V41" s="34"/>
      <c r="W41" s="34"/>
      <c r="X41" s="34"/>
      <c r="Y41" s="34"/>
      <c r="Z41" s="34"/>
      <c r="AA41" s="34"/>
      <c r="AB41" s="34"/>
      <c r="AC41" s="12"/>
      <c r="AD41" s="14"/>
      <c r="AE41" s="41" t="s">
        <v>36</v>
      </c>
      <c r="AF41" s="43">
        <f>+IF([1]Datos!$C$21="x",+IF([1]Datos!$C$16&gt;1,[1]Datos!$C$16*10%,0),0)</f>
        <v>0</v>
      </c>
      <c r="AG41" s="43"/>
      <c r="AH41" s="43"/>
      <c r="AI41" s="43"/>
      <c r="AJ41" s="43"/>
      <c r="AK41" s="43"/>
      <c r="AL41" s="41" t="s">
        <v>37</v>
      </c>
      <c r="AM41" s="10"/>
    </row>
    <row r="42" spans="1:39" ht="15" hidden="1" customHeight="1" x14ac:dyDescent="0.25">
      <c r="A42" s="21"/>
      <c r="N42" s="23"/>
      <c r="O42" s="23"/>
      <c r="P42" s="23"/>
      <c r="Q42" s="23"/>
      <c r="R42" s="23"/>
      <c r="S42" s="24"/>
      <c r="T42" s="34"/>
      <c r="U42" s="34"/>
      <c r="V42" s="34"/>
      <c r="W42" s="34"/>
      <c r="X42" s="34"/>
      <c r="Y42" s="34"/>
      <c r="Z42" s="34"/>
      <c r="AA42" s="34"/>
      <c r="AB42" s="34"/>
      <c r="AD42" s="14"/>
      <c r="AE42" s="42"/>
      <c r="AF42" s="44"/>
      <c r="AG42" s="44"/>
      <c r="AH42" s="44"/>
      <c r="AI42" s="44"/>
      <c r="AJ42" s="44"/>
      <c r="AK42" s="44"/>
      <c r="AL42" s="42"/>
      <c r="AM42" s="10"/>
    </row>
    <row r="43" spans="1:39" ht="12.75" hidden="1" customHeight="1" x14ac:dyDescent="0.25">
      <c r="A43" s="21"/>
      <c r="N43" s="23"/>
      <c r="O43" s="23"/>
      <c r="P43" s="23"/>
      <c r="Q43" s="23"/>
      <c r="R43" s="23"/>
      <c r="S43" s="24"/>
      <c r="T43" s="40" t="s">
        <v>38</v>
      </c>
      <c r="U43" s="40"/>
      <c r="V43" s="40"/>
      <c r="W43" s="40"/>
      <c r="X43" s="40"/>
      <c r="Y43" s="40"/>
      <c r="Z43" s="40"/>
      <c r="AA43" s="40"/>
      <c r="AB43" s="40"/>
      <c r="AD43" s="14"/>
      <c r="AE43" s="41" t="s">
        <v>36</v>
      </c>
      <c r="AF43" s="43">
        <f>+IF( [1]Datos!F10="Bogotá",+IF([1]Datos!$C$16&gt;101000,AE32/1000,0),0)</f>
        <v>0</v>
      </c>
      <c r="AG43" s="43"/>
      <c r="AH43" s="43"/>
      <c r="AI43" s="43"/>
      <c r="AJ43" s="43"/>
      <c r="AK43" s="43"/>
      <c r="AL43" s="41" t="s">
        <v>37</v>
      </c>
      <c r="AM43" s="10"/>
    </row>
    <row r="44" spans="1:39" ht="12.75" hidden="1" customHeight="1" x14ac:dyDescent="0.25">
      <c r="A44" s="21"/>
      <c r="N44" s="23"/>
      <c r="O44" s="23"/>
      <c r="P44" s="23"/>
      <c r="Q44" s="23"/>
      <c r="R44" s="23"/>
      <c r="S44" s="24"/>
      <c r="T44" s="40"/>
      <c r="U44" s="40"/>
      <c r="V44" s="40"/>
      <c r="W44" s="40"/>
      <c r="X44" s="40"/>
      <c r="Y44" s="40"/>
      <c r="Z44" s="40"/>
      <c r="AA44" s="40"/>
      <c r="AB44" s="40"/>
      <c r="AD44" s="14"/>
      <c r="AE44" s="42"/>
      <c r="AF44" s="44"/>
      <c r="AG44" s="44"/>
      <c r="AH44" s="44"/>
      <c r="AI44" s="44"/>
      <c r="AJ44" s="44"/>
      <c r="AK44" s="44"/>
      <c r="AL44" s="42"/>
      <c r="AM44" s="10"/>
    </row>
    <row r="45" spans="1:39" x14ac:dyDescent="0.25">
      <c r="A45" s="21"/>
      <c r="N45" s="23"/>
      <c r="O45" s="23"/>
      <c r="P45" s="23"/>
      <c r="Q45" s="23"/>
      <c r="R45" s="23"/>
      <c r="S45" s="24"/>
      <c r="T45" s="34" t="s">
        <v>39</v>
      </c>
      <c r="U45" s="34"/>
      <c r="V45" s="34"/>
      <c r="W45" s="34"/>
      <c r="X45" s="34"/>
      <c r="Y45" s="34"/>
      <c r="Z45" s="34"/>
      <c r="AA45" s="34"/>
      <c r="AB45" s="34"/>
      <c r="AD45" s="14"/>
      <c r="AE45" s="43">
        <f>+AE39</f>
        <v>405900</v>
      </c>
      <c r="AF45" s="45"/>
      <c r="AG45" s="45"/>
      <c r="AH45" s="45"/>
      <c r="AI45" s="45"/>
      <c r="AJ45" s="45"/>
      <c r="AK45" s="45"/>
      <c r="AL45" s="45"/>
      <c r="AM45" s="10"/>
    </row>
    <row r="46" spans="1:39" ht="15.75" thickBot="1" x14ac:dyDescent="0.3">
      <c r="A46" s="21"/>
      <c r="N46" s="23"/>
      <c r="O46" s="23"/>
      <c r="P46" s="23"/>
      <c r="Q46" s="23"/>
      <c r="R46" s="23"/>
      <c r="S46" s="24"/>
      <c r="T46" s="34"/>
      <c r="U46" s="34"/>
      <c r="V46" s="34"/>
      <c r="W46" s="34"/>
      <c r="X46" s="34"/>
      <c r="Y46" s="34"/>
      <c r="Z46" s="34"/>
      <c r="AA46" s="34"/>
      <c r="AB46" s="34"/>
      <c r="AD46" s="14"/>
      <c r="AE46" s="46"/>
      <c r="AF46" s="46"/>
      <c r="AG46" s="46"/>
      <c r="AH46" s="46"/>
      <c r="AI46" s="46"/>
      <c r="AJ46" s="46"/>
      <c r="AK46" s="46"/>
      <c r="AL46" s="46"/>
      <c r="AM46" s="10"/>
    </row>
    <row r="47" spans="1:39" ht="16.5" thickTop="1" thickBot="1" x14ac:dyDescent="0.3">
      <c r="A47" s="2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26"/>
      <c r="T47" s="32" t="s">
        <v>43</v>
      </c>
      <c r="U47" s="27"/>
      <c r="V47" s="27"/>
      <c r="W47" s="27"/>
      <c r="X47" s="27"/>
      <c r="Y47" s="27"/>
      <c r="Z47" s="27"/>
      <c r="AA47" s="27"/>
      <c r="AB47" s="27"/>
      <c r="AC47" s="27"/>
      <c r="AD47" s="28"/>
      <c r="AE47" s="27"/>
      <c r="AF47" s="27"/>
      <c r="AG47" s="27"/>
      <c r="AH47" s="27"/>
      <c r="AI47" s="27"/>
      <c r="AJ47" s="27"/>
      <c r="AK47" s="27"/>
      <c r="AL47" s="27"/>
      <c r="AM47" s="29"/>
    </row>
    <row r="48" spans="1:39" ht="15.75" hidden="1" thickTop="1" x14ac:dyDescent="0.25">
      <c r="A48" s="9"/>
      <c r="S48" s="22"/>
      <c r="T48" s="33" t="s">
        <v>40</v>
      </c>
      <c r="U48" s="34"/>
      <c r="V48" s="34"/>
      <c r="W48" s="34"/>
      <c r="X48" s="34"/>
      <c r="Y48" s="34"/>
      <c r="Z48" s="34"/>
      <c r="AA48" s="34"/>
      <c r="AB48" s="34"/>
      <c r="AD48" s="14"/>
      <c r="AE48" s="37">
        <f>+IF(AE39&gt;86000,AE39*8%,0)</f>
        <v>32472</v>
      </c>
      <c r="AF48" s="37"/>
      <c r="AG48" s="37"/>
      <c r="AH48" s="37"/>
      <c r="AI48" s="37"/>
      <c r="AJ48" s="37"/>
      <c r="AK48" s="37"/>
      <c r="AL48" s="37"/>
      <c r="AM48" s="10"/>
    </row>
    <row r="49" spans="1:39" ht="16.5" hidden="1" thickTop="1" thickBot="1" x14ac:dyDescent="0.3">
      <c r="A49" s="30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31"/>
      <c r="T49" s="35"/>
      <c r="U49" s="36"/>
      <c r="V49" s="36"/>
      <c r="W49" s="36"/>
      <c r="X49" s="36"/>
      <c r="Y49" s="36"/>
      <c r="Z49" s="36"/>
      <c r="AA49" s="36"/>
      <c r="AB49" s="36"/>
      <c r="AC49" s="27"/>
      <c r="AD49" s="28"/>
      <c r="AE49" s="38"/>
      <c r="AF49" s="38"/>
      <c r="AG49" s="38"/>
      <c r="AH49" s="38"/>
      <c r="AI49" s="38"/>
      <c r="AJ49" s="38"/>
      <c r="AK49" s="38"/>
      <c r="AL49" s="38"/>
      <c r="AM49" s="29"/>
    </row>
    <row r="50" spans="1:39" ht="15.75" hidden="1" thickTop="1" x14ac:dyDescent="0.2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</row>
    <row r="51" spans="1:39" ht="15.75" thickTop="1" x14ac:dyDescent="0.25"/>
  </sheetData>
  <mergeCells count="57">
    <mergeCell ref="A2:V2"/>
    <mergeCell ref="W2:AD2"/>
    <mergeCell ref="AE2:AM2"/>
    <mergeCell ref="A3:V3"/>
    <mergeCell ref="W3:AD5"/>
    <mergeCell ref="AE3:AG3"/>
    <mergeCell ref="AH3:AJ3"/>
    <mergeCell ref="AK3:AM3"/>
    <mergeCell ref="A4:V4"/>
    <mergeCell ref="AE4:AM5"/>
    <mergeCell ref="A5:V5"/>
    <mergeCell ref="U8:W8"/>
    <mergeCell ref="X8:Z8"/>
    <mergeCell ref="AL8:AM8"/>
    <mergeCell ref="A9:T10"/>
    <mergeCell ref="U9:W10"/>
    <mergeCell ref="X9:Z10"/>
    <mergeCell ref="AA9:AK10"/>
    <mergeCell ref="AL9:AM10"/>
    <mergeCell ref="A12:Q13"/>
    <mergeCell ref="R12:AD13"/>
    <mergeCell ref="AE12:AM13"/>
    <mergeCell ref="U16:W16"/>
    <mergeCell ref="X16:Z16"/>
    <mergeCell ref="AL16:AM16"/>
    <mergeCell ref="B30:AB31"/>
    <mergeCell ref="AE30:AL31"/>
    <mergeCell ref="A17:T18"/>
    <mergeCell ref="U17:W18"/>
    <mergeCell ref="X17:Z18"/>
    <mergeCell ref="AA17:AK18"/>
    <mergeCell ref="AL17:AM18"/>
    <mergeCell ref="A20:Q21"/>
    <mergeCell ref="R20:AD21"/>
    <mergeCell ref="AE20:AM21"/>
    <mergeCell ref="AD23:AM23"/>
    <mergeCell ref="B26:AB27"/>
    <mergeCell ref="AE26:AL27"/>
    <mergeCell ref="B28:AB29"/>
    <mergeCell ref="AE28:AL29"/>
    <mergeCell ref="B32:AB33"/>
    <mergeCell ref="AE32:AL33"/>
    <mergeCell ref="T39:AB40"/>
    <mergeCell ref="AE39:AL40"/>
    <mergeCell ref="T41:AB42"/>
    <mergeCell ref="AE41:AE42"/>
    <mergeCell ref="AF41:AK42"/>
    <mergeCell ref="AL41:AL42"/>
    <mergeCell ref="T48:AB49"/>
    <mergeCell ref="AE48:AL49"/>
    <mergeCell ref="A50:AM50"/>
    <mergeCell ref="T43:AB44"/>
    <mergeCell ref="AE43:AE44"/>
    <mergeCell ref="AF43:AK44"/>
    <mergeCell ref="AL43:AL44"/>
    <mergeCell ref="T45:AB46"/>
    <mergeCell ref="AE45:AL4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Yesenia</dc:creator>
  <cp:lastModifiedBy>Yesenia</cp:lastModifiedBy>
  <cp:lastPrinted>2026-06-18T14:17:43Z</cp:lastPrinted>
  <dcterms:created xsi:type="dcterms:W3CDTF">2025-06-26T16:35:35Z</dcterms:created>
  <dcterms:modified xsi:type="dcterms:W3CDTF">2026-06-18T14:17:46Z</dcterms:modified>
</cp:coreProperties>
</file>